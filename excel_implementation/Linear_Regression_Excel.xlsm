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aron\Google_Drive\Projects\Python_R_Data_Analysis\Python\excel_implementation\"/>
    </mc:Choice>
  </mc:AlternateContent>
  <bookViews>
    <workbookView xWindow="0" yWindow="0" windowWidth="28800" windowHeight="14820"/>
  </bookViews>
  <sheets>
    <sheet name="Results" sheetId="1" r:id="rId1"/>
    <sheet name="Data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" l="1"/>
  <c r="C25" i="1" l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K33" i="1" l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9" i="1"/>
  <c r="L13" i="1" l="1"/>
</calcChain>
</file>

<file path=xl/sharedStrings.xml><?xml version="1.0" encoding="utf-8"?>
<sst xmlns="http://schemas.openxmlformats.org/spreadsheetml/2006/main" count="44" uniqueCount="41">
  <si>
    <t>index</t>
  </si>
  <si>
    <t>simplicity</t>
  </si>
  <si>
    <t>fatalism</t>
  </si>
  <si>
    <t>depression</t>
  </si>
  <si>
    <t>adjsimp</t>
  </si>
  <si>
    <t>adjfatal</t>
  </si>
  <si>
    <t>adjdep</t>
  </si>
  <si>
    <t>Data set Variables</t>
  </si>
  <si>
    <t xml:space="preserve">Enter Variables to Regress </t>
  </si>
  <si>
    <t>Regression Formula to be Fitted</t>
  </si>
  <si>
    <t>Regression Diagnostics</t>
  </si>
  <si>
    <t>residuals</t>
  </si>
  <si>
    <t>y</t>
  </si>
  <si>
    <t>Summary</t>
  </si>
  <si>
    <t>Normality of Residuals</t>
  </si>
  <si>
    <r>
      <t>x</t>
    </r>
    <r>
      <rPr>
        <vertAlign val="subscript"/>
        <sz val="12"/>
        <color rgb="FF2C3E50"/>
        <rFont val="Helvetica"/>
      </rPr>
      <t>1</t>
    </r>
  </si>
  <si>
    <r>
      <t>x</t>
    </r>
    <r>
      <rPr>
        <vertAlign val="subscript"/>
        <sz val="12"/>
        <color rgb="FF2C3E50"/>
        <rFont val="Helvetica"/>
      </rPr>
      <t>2</t>
    </r>
  </si>
  <si>
    <t>Fitted Model</t>
  </si>
  <si>
    <r>
      <t>x</t>
    </r>
    <r>
      <rPr>
        <vertAlign val="subscript"/>
        <sz val="12"/>
        <color rgb="FF2C3E50"/>
        <rFont val="Helvetica"/>
      </rPr>
      <t>3</t>
    </r>
  </si>
  <si>
    <r>
      <t>x</t>
    </r>
    <r>
      <rPr>
        <vertAlign val="subscript"/>
        <sz val="12"/>
        <color rgb="FF2C3E50"/>
        <rFont val="Helvetica"/>
      </rPr>
      <t>4</t>
    </r>
  </si>
  <si>
    <r>
      <t>x</t>
    </r>
    <r>
      <rPr>
        <vertAlign val="subscript"/>
        <sz val="12"/>
        <color rgb="FF2C3E50"/>
        <rFont val="Helvetica"/>
      </rPr>
      <t>5</t>
    </r>
  </si>
  <si>
    <r>
      <t>x</t>
    </r>
    <r>
      <rPr>
        <vertAlign val="subscript"/>
        <sz val="12"/>
        <color rgb="FF2C3E50"/>
        <rFont val="Helvetica"/>
      </rPr>
      <t>6</t>
    </r>
  </si>
  <si>
    <t>Prediction</t>
  </si>
  <si>
    <t>Bruesh-Pagan Test</t>
  </si>
  <si>
    <r>
      <t>x</t>
    </r>
    <r>
      <rPr>
        <vertAlign val="subscript"/>
        <sz val="12"/>
        <color rgb="FF2C3E50"/>
        <rFont val="Helvetica"/>
      </rPr>
      <t>7</t>
    </r>
  </si>
  <si>
    <r>
      <t>x</t>
    </r>
    <r>
      <rPr>
        <vertAlign val="subscript"/>
        <sz val="12"/>
        <color rgb="FF2C3E50"/>
        <rFont val="Helvetica"/>
      </rPr>
      <t>8</t>
    </r>
  </si>
  <si>
    <r>
      <t>x</t>
    </r>
    <r>
      <rPr>
        <vertAlign val="subscript"/>
        <sz val="12"/>
        <color rgb="FF2C3E50"/>
        <rFont val="Helvetica"/>
      </rPr>
      <t>9</t>
    </r>
  </si>
  <si>
    <r>
      <t>x</t>
    </r>
    <r>
      <rPr>
        <vertAlign val="subscript"/>
        <sz val="12"/>
        <color rgb="FF2C3E50"/>
        <rFont val="Helvetica"/>
      </rPr>
      <t>10</t>
    </r>
  </si>
  <si>
    <r>
      <t>x</t>
    </r>
    <r>
      <rPr>
        <vertAlign val="subscript"/>
        <sz val="12"/>
        <color rgb="FF2C3E50"/>
        <rFont val="Helvetica"/>
      </rPr>
      <t>11</t>
    </r>
  </si>
  <si>
    <r>
      <t>x</t>
    </r>
    <r>
      <rPr>
        <vertAlign val="subscript"/>
        <sz val="12"/>
        <color rgb="FF2C3E50"/>
        <rFont val="Helvetica"/>
      </rPr>
      <t>12</t>
    </r>
  </si>
  <si>
    <t>P&gt;|t|</t>
  </si>
  <si>
    <t>Coefficients</t>
  </si>
  <si>
    <r>
      <t>x</t>
    </r>
    <r>
      <rPr>
        <vertAlign val="subscript"/>
        <sz val="12"/>
        <color rgb="FF2C3E50"/>
        <rFont val="Helvetica"/>
      </rPr>
      <t>13</t>
    </r>
  </si>
  <si>
    <r>
      <t>x</t>
    </r>
    <r>
      <rPr>
        <vertAlign val="subscript"/>
        <sz val="12"/>
        <color rgb="FF2C3E50"/>
        <rFont val="Helvetica"/>
      </rPr>
      <t>14</t>
    </r>
  </si>
  <si>
    <r>
      <t>x</t>
    </r>
    <r>
      <rPr>
        <vertAlign val="subscript"/>
        <sz val="12"/>
        <color rgb="FF2C3E50"/>
        <rFont val="Helvetica"/>
      </rPr>
      <t>15</t>
    </r>
  </si>
  <si>
    <r>
      <t>x</t>
    </r>
    <r>
      <rPr>
        <vertAlign val="subscript"/>
        <sz val="12"/>
        <color rgb="FF2C3E50"/>
        <rFont val="Helvetica"/>
      </rPr>
      <t>16</t>
    </r>
  </si>
  <si>
    <r>
      <t>x</t>
    </r>
    <r>
      <rPr>
        <vertAlign val="subscript"/>
        <sz val="12"/>
        <color rgb="FF2C3E50"/>
        <rFont val="Helvetica"/>
      </rPr>
      <t>17</t>
    </r>
  </si>
  <si>
    <r>
      <t>x</t>
    </r>
    <r>
      <rPr>
        <vertAlign val="subscript"/>
        <sz val="12"/>
        <color rgb="FF2C3E50"/>
        <rFont val="Helvetica"/>
      </rPr>
      <t>18</t>
    </r>
  </si>
  <si>
    <r>
      <t>x</t>
    </r>
    <r>
      <rPr>
        <vertAlign val="subscript"/>
        <sz val="12"/>
        <color rgb="FF2C3E50"/>
        <rFont val="Helvetica"/>
      </rPr>
      <t>19</t>
    </r>
  </si>
  <si>
    <r>
      <t>x</t>
    </r>
    <r>
      <rPr>
        <vertAlign val="subscript"/>
        <sz val="12"/>
        <color rgb="FF2C3E50"/>
        <rFont val="Helvetica"/>
      </rPr>
      <t>20</t>
    </r>
  </si>
  <si>
    <t>depression ~ simplicity + fatalism'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</si>
</sst>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2C3E50"/>
      <name val="Helvetica"/>
    </font>
    <font>
      <sz val="16"/>
      <color rgb="FF2C3E50"/>
      <name val="Helvetica"/>
    </font>
    <font>
      <sz val="14"/>
      <color rgb="FF2C3E50"/>
      <name val="Helvetica"/>
    </font>
    <font>
      <sz val="12"/>
      <color rgb="FF2C3E50"/>
      <name val="Helvetica"/>
    </font>
    <font>
      <vertAlign val="subscript"/>
      <sz val="12"/>
      <color rgb="FF2C3E50"/>
      <name val="Helvetica"/>
    </font>
    <font>
      <b/>
      <sz val="12"/>
      <color rgb="FF2C3E50"/>
      <name val="Helvetica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8F8FF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2" fillId="2" borderId="5" xfId="0" applyFont="1" applyFill="1" applyBorder="1"/>
    <xf numFmtId="0" fontId="1" fillId="3" borderId="6" xfId="0" applyFont="1" applyFill="1" applyBorder="1"/>
    <xf numFmtId="0" fontId="1" fillId="3" borderId="0" xfId="0" applyFont="1" applyFill="1"/>
    <xf numFmtId="0" fontId="1" fillId="3" borderId="0" xfId="0" applyFont="1" applyFill="1" applyBorder="1"/>
    <xf numFmtId="0" fontId="3" fillId="2" borderId="0" xfId="0" applyFont="1" applyFill="1"/>
    <xf numFmtId="0" fontId="4" fillId="3" borderId="0" xfId="0" applyFont="1" applyFill="1" applyBorder="1"/>
    <xf numFmtId="0" fontId="4" fillId="3" borderId="10" xfId="0" applyFont="1" applyFill="1" applyBorder="1" applyAlignment="1">
      <alignment horizontal="right"/>
    </xf>
    <xf numFmtId="0" fontId="4" fillId="3" borderId="14" xfId="0" applyFont="1" applyFill="1" applyBorder="1"/>
    <xf numFmtId="0" fontId="4" fillId="3" borderId="15" xfId="0" applyFont="1" applyFill="1" applyBorder="1"/>
    <xf numFmtId="0" fontId="4" fillId="3" borderId="16" xfId="0" applyFont="1" applyFill="1" applyBorder="1"/>
    <xf numFmtId="0" fontId="4" fillId="3" borderId="12" xfId="0" applyFont="1" applyFill="1" applyBorder="1"/>
    <xf numFmtId="0" fontId="1" fillId="2" borderId="0" xfId="0" applyFont="1" applyFill="1" applyBorder="1"/>
    <xf numFmtId="0" fontId="3" fillId="3" borderId="0" xfId="0" applyFont="1" applyFill="1" applyBorder="1"/>
    <xf numFmtId="0" fontId="6" fillId="3" borderId="17" xfId="0" applyFont="1" applyFill="1" applyBorder="1"/>
    <xf numFmtId="0" fontId="3" fillId="3" borderId="18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19" xfId="0" applyFont="1" applyFill="1" applyBorder="1"/>
    <xf numFmtId="0" fontId="4" fillId="2" borderId="0" xfId="0" applyFont="1" applyFill="1" applyAlignment="1">
      <alignment horizontal="right"/>
    </xf>
    <xf numFmtId="0" fontId="4" fillId="3" borderId="20" xfId="0" applyFont="1" applyFill="1" applyBorder="1"/>
    <xf numFmtId="0" fontId="4" fillId="2" borderId="0" xfId="0" applyFont="1" applyFill="1"/>
    <xf numFmtId="0" fontId="1" fillId="3" borderId="21" xfId="0" applyFont="1" applyFill="1" applyBorder="1"/>
    <xf numFmtId="0" fontId="4" fillId="3" borderId="22" xfId="0" applyFont="1" applyFill="1" applyBorder="1"/>
    <xf numFmtId="0" fontId="1" fillId="3" borderId="23" xfId="0" applyFont="1" applyFill="1" applyBorder="1"/>
    <xf numFmtId="0" fontId="1" fillId="3" borderId="22" xfId="0" applyFont="1" applyFill="1" applyBorder="1"/>
    <xf numFmtId="0" fontId="4" fillId="2" borderId="0" xfId="0" applyFont="1" applyFill="1" applyAlignment="1">
      <alignment horizontal="center"/>
    </xf>
    <xf numFmtId="0" fontId="4" fillId="3" borderId="11" xfId="0" applyFont="1" applyFill="1" applyBorder="1" applyAlignment="1"/>
    <xf numFmtId="0" fontId="4" fillId="3" borderId="12" xfId="0" applyFont="1" applyFill="1" applyBorder="1" applyAlignment="1"/>
    <xf numFmtId="0" fontId="4" fillId="3" borderId="13" xfId="0" applyFont="1" applyFill="1" applyBorder="1" applyAlignment="1"/>
    <xf numFmtId="0" fontId="1" fillId="2" borderId="0" xfId="0" quotePrefix="1" applyFont="1" applyFill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left"/>
    </xf>
    <xf numFmtId="0" fontId="4" fillId="3" borderId="12" xfId="0" applyFont="1" applyFill="1" applyBorder="1" applyAlignment="1">
      <alignment horizontal="left"/>
    </xf>
    <xf numFmtId="0" fontId="4" fillId="3" borderId="13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1009650</xdr:colOff>
          <xdr:row>22</xdr:row>
          <xdr:rowOff>19050</xdr:rowOff>
        </xdr:from>
        <xdr:to>
          <xdr:col>17</xdr:col>
          <xdr:colOff>790575</xdr:colOff>
          <xdr:row>24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Linear Regression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A88"/>
  <sheetViews>
    <sheetView tabSelected="1" workbookViewId="0">
      <selection activeCell="C5" sqref="C5"/>
    </sheetView>
  </sheetViews>
  <sheetFormatPr defaultColWidth="8.85546875" defaultRowHeight="14.25" x14ac:dyDescent="0.2"/>
  <cols>
    <col min="1" max="1" width="4.28515625" style="1" customWidth="1"/>
    <col min="2" max="2" width="0.5703125" style="1" customWidth="1"/>
    <col min="3" max="3" width="24.28515625" style="1" customWidth="1"/>
    <col min="4" max="4" width="0.5703125" style="1" customWidth="1"/>
    <col min="5" max="5" width="3" style="1" customWidth="1"/>
    <col min="6" max="6" width="0.5703125" style="1" customWidth="1"/>
    <col min="7" max="8" width="17" style="1" customWidth="1"/>
    <col min="9" max="9" width="0.5703125" style="1" customWidth="1"/>
    <col min="10" max="10" width="1.5703125" style="1" customWidth="1"/>
    <col min="11" max="11" width="21.7109375" style="1" customWidth="1"/>
    <col min="12" max="12" width="10.7109375" style="1" customWidth="1"/>
    <col min="13" max="13" width="11.140625" style="1" customWidth="1"/>
    <col min="14" max="14" width="1" style="1" customWidth="1"/>
    <col min="15" max="15" width="18.140625" style="1" bestFit="1" customWidth="1"/>
    <col min="16" max="16" width="12.140625" style="1" bestFit="1" customWidth="1"/>
    <col min="17" max="17" width="11.5703125" style="1" bestFit="1" customWidth="1"/>
    <col min="18" max="18" width="15.85546875" style="1" bestFit="1" customWidth="1"/>
    <col min="19" max="19" width="12" style="1" bestFit="1" customWidth="1"/>
    <col min="20" max="20" width="9" style="1" bestFit="1" customWidth="1"/>
    <col min="21" max="21" width="1.85546875" style="1" customWidth="1"/>
    <col min="22" max="16384" width="8.85546875" style="1"/>
  </cols>
  <sheetData>
    <row r="1" spans="2:27" ht="15" thickBot="1" x14ac:dyDescent="0.25"/>
    <row r="2" spans="2:27" ht="3.75" customHeight="1" x14ac:dyDescent="0.2">
      <c r="B2" s="2"/>
      <c r="C2" s="3"/>
      <c r="D2" s="4"/>
      <c r="F2" s="2"/>
      <c r="G2" s="3"/>
      <c r="H2" s="3"/>
      <c r="I2" s="4"/>
    </row>
    <row r="3" spans="2:27" ht="20.25" x14ac:dyDescent="0.3">
      <c r="B3" s="5"/>
      <c r="C3" s="6" t="s">
        <v>7</v>
      </c>
      <c r="D3" s="7"/>
      <c r="F3" s="5"/>
      <c r="G3" s="44" t="s">
        <v>8</v>
      </c>
      <c r="H3" s="44"/>
      <c r="I3" s="7"/>
      <c r="K3" s="36" t="s">
        <v>9</v>
      </c>
      <c r="L3" s="37"/>
      <c r="M3" s="38"/>
      <c r="O3" s="36" t="s">
        <v>10</v>
      </c>
      <c r="P3" s="37"/>
      <c r="Q3" s="37"/>
      <c r="R3" s="37"/>
      <c r="S3" s="37"/>
      <c r="T3" s="38"/>
      <c r="Z3" s="1" t="s">
        <v>11</v>
      </c>
    </row>
    <row r="4" spans="2:27" ht="3.75" customHeight="1" x14ac:dyDescent="0.25">
      <c r="B4" s="5"/>
      <c r="C4" s="8"/>
      <c r="D4" s="7"/>
      <c r="F4" s="5"/>
      <c r="G4" s="9"/>
      <c r="H4" s="9"/>
      <c r="I4" s="7"/>
      <c r="K4" s="10"/>
    </row>
    <row r="5" spans="2:27" ht="18" x14ac:dyDescent="0.25">
      <c r="B5" s="5"/>
      <c r="C5" s="11" t="str">
        <f>Data!A$1</f>
        <v>simplicity</v>
      </c>
      <c r="D5" s="7"/>
      <c r="F5" s="5">
        <v>0</v>
      </c>
      <c r="G5" s="12" t="s">
        <v>12</v>
      </c>
      <c r="H5" s="11" t="s">
        <v>3</v>
      </c>
      <c r="I5" s="7">
        <v>0.59870000000000001</v>
      </c>
      <c r="K5" s="32" t="str">
        <f>TRIM("'"&amp;H5&amp;" ~ "&amp;H6&amp;IF(H7="",""," + "&amp;H7)&amp;IF(H8="",""," + "&amp;H8)&amp;IF(H9="",""," + "&amp;H9)&amp;IF(H10="",""," + "&amp;H10)&amp;IF(H11="",""," + "&amp;H11)&amp;IF(H12="",""," + "&amp;H12)&amp;IF(H13="",""," + "&amp;H13)&amp;IF(H14="",""," + "&amp;H14)&amp;IF(H15="",""," + "&amp;H15)&amp;IF(H16="",""," + "&amp;H16)&amp;IF(H17="",""," + "&amp;H17)&amp;IF(H18="",""," + "&amp;H18)&amp;IF(H19="",""," + "&amp;H19)&amp;IF(H20="",""," + "&amp;H20)&amp;IF(H21="",""," + "&amp;H21)&amp;IF(H22="",""," + "&amp;H22)&amp;IF(H23="",""," + "&amp;H23)&amp;IF(H22="",""," + "&amp;H22)&amp;IF(H23="",""," + "&amp;H23)&amp;IF(H24="",""," + "&amp;H24)&amp;IF(H25="",""," + "&amp;H25)&amp;"'")</f>
        <v>'depression ~ simplicity + fatalism'</v>
      </c>
      <c r="L5" s="33"/>
      <c r="M5" s="34"/>
      <c r="O5" s="42" t="s">
        <v>13</v>
      </c>
      <c r="P5" s="43"/>
      <c r="R5" s="42" t="s">
        <v>14</v>
      </c>
      <c r="S5" s="43"/>
    </row>
    <row r="6" spans="2:27" ht="19.5" x14ac:dyDescent="0.35">
      <c r="B6" s="5"/>
      <c r="C6" s="11" t="str">
        <f>Data!B$1</f>
        <v>fatalism</v>
      </c>
      <c r="D6" s="7"/>
      <c r="F6" s="5">
        <v>1</v>
      </c>
      <c r="G6" s="12" t="s">
        <v>15</v>
      </c>
      <c r="H6" s="11" t="s">
        <v>1</v>
      </c>
      <c r="I6" s="7">
        <v>0.72787000000000002</v>
      </c>
      <c r="O6" s="13"/>
      <c r="P6" s="14"/>
      <c r="R6" s="13"/>
      <c r="S6" s="14"/>
      <c r="Z6" s="1" t="s">
        <v>0</v>
      </c>
      <c r="AA6" s="1">
        <v>0</v>
      </c>
    </row>
    <row r="7" spans="2:27" ht="21" x14ac:dyDescent="0.35">
      <c r="B7" s="5"/>
      <c r="C7" s="11" t="str">
        <f>IF(Data!C$1="","",Data!C$1)</f>
        <v>depression</v>
      </c>
      <c r="D7" s="7"/>
      <c r="F7" s="5">
        <v>2</v>
      </c>
      <c r="G7" s="12" t="s">
        <v>16</v>
      </c>
      <c r="H7" s="11" t="s">
        <v>2</v>
      </c>
      <c r="I7" s="7">
        <v>0.53410999999999997</v>
      </c>
      <c r="K7" s="36" t="s">
        <v>17</v>
      </c>
      <c r="L7" s="37"/>
      <c r="M7" s="38"/>
      <c r="O7" s="15"/>
      <c r="P7" s="16"/>
      <c r="R7" s="15"/>
      <c r="S7" s="16"/>
      <c r="Z7" s="1">
        <v>0</v>
      </c>
      <c r="AA7" s="1">
        <v>-0.1</v>
      </c>
    </row>
    <row r="8" spans="2:27" ht="19.5" x14ac:dyDescent="0.35">
      <c r="B8" s="5"/>
      <c r="C8" s="11" t="str">
        <f>IF(Data!D$1="","",Data!D$1)</f>
        <v>adjsimp</v>
      </c>
      <c r="D8" s="7"/>
      <c r="F8" s="5">
        <v>3</v>
      </c>
      <c r="G8" s="12" t="s">
        <v>18</v>
      </c>
      <c r="H8" s="11"/>
      <c r="I8" s="7">
        <v>0.56640999999999997</v>
      </c>
      <c r="O8" s="15"/>
      <c r="P8" s="16"/>
      <c r="R8" s="15"/>
      <c r="S8" s="16"/>
      <c r="Z8" s="1">
        <v>1</v>
      </c>
      <c r="AA8" s="1">
        <v>-0.31</v>
      </c>
    </row>
    <row r="9" spans="2:27" ht="19.5" x14ac:dyDescent="0.35">
      <c r="B9" s="5"/>
      <c r="C9" s="11" t="str">
        <f>IF(Data!E$1="","",Data!E$1)</f>
        <v>adjfatal</v>
      </c>
      <c r="D9" s="7"/>
      <c r="F9" s="5">
        <v>4</v>
      </c>
      <c r="G9" s="12" t="s">
        <v>19</v>
      </c>
      <c r="H9" s="11"/>
      <c r="I9" s="7">
        <v>0.50182000000000004</v>
      </c>
      <c r="K9" s="39" t="str">
        <f>"f(x) = "&amp;ROUND(T19,5)&amp;G6&amp;" + "&amp;IF(T20="","",ROUND(T20,5)&amp;G7&amp;" + ")&amp;IF(T21="","",ROUND(T21,5)&amp;G8&amp;" + ")&amp;IF(T22="","",ROUND(T22,5)&amp;G9&amp;" + ")&amp;IF(T23="","",ROUND(T23,5)&amp;G10&amp;" + ")&amp;IF(T24="","",ROUND(T24,5)&amp;G11&amp;" + ")&amp;IF(T25="","",ROUND(T25,5)&amp;G12&amp;" + ")&amp;IF(T26="","",ROUND(T26,5)&amp;G13&amp;" + ")&amp;IF(T27="","",ROUND(T27,5)&amp;G14&amp;" + ")&amp;IF(T28="","",ROUND(T28,5)&amp;G15&amp;" + ")&amp;IF(T29="","",ROUND(T29,5)&amp;G16&amp;" + ")&amp;IF(T30="","",ROUND(T30,5)&amp;G17&amp;" + ")&amp;IF(T31="","",ROUND(T31,5)&amp;G18&amp;" + ")&amp;IF(T32="","",ROUND(T32,5)&amp;G19&amp;" + ")&amp;IF(T33="","",ROUND(T33,5)&amp;G20&amp;" + ")&amp;IF(T34="","",ROUND(T34,5)&amp;G21&amp;" + ")&amp;IF(T35="","",ROUND(T35,5)&amp;G22&amp;" + ")&amp;IF(T36="","",ROUND(T36,5)&amp;G23&amp;" + ")&amp;IF(T36="","",ROUND(T36,5)&amp;G24&amp;" + ")&amp;IF(T37="","",ROUND(T37,5)&amp;G25&amp;" + ")&amp;ROUND(T18,5)</f>
        <v>f(x) = 0x1 + 0</v>
      </c>
      <c r="L9" s="40"/>
      <c r="M9" s="41"/>
      <c r="O9" s="15"/>
      <c r="P9" s="16"/>
      <c r="R9" s="15"/>
      <c r="S9" s="16"/>
      <c r="Z9" s="1">
        <v>2</v>
      </c>
      <c r="AA9" s="1">
        <v>0.153</v>
      </c>
    </row>
    <row r="10" spans="2:27" ht="19.5" x14ac:dyDescent="0.35">
      <c r="B10" s="5"/>
      <c r="C10" s="11" t="str">
        <f>IF(Data!F$1="","",Data!F$1)</f>
        <v>adjdep</v>
      </c>
      <c r="D10" s="7"/>
      <c r="F10" s="5"/>
      <c r="G10" s="12" t="s">
        <v>20</v>
      </c>
      <c r="H10" s="11"/>
      <c r="I10" s="7"/>
      <c r="O10" s="15"/>
      <c r="P10" s="16"/>
      <c r="R10" s="17"/>
      <c r="S10" s="17"/>
      <c r="Z10" s="1">
        <v>3</v>
      </c>
      <c r="AA10" s="1">
        <v>-0.06</v>
      </c>
    </row>
    <row r="11" spans="2:27" ht="21" x14ac:dyDescent="0.35">
      <c r="B11" s="5"/>
      <c r="C11" s="11" t="str">
        <f>IF(Data!G$1="","",Data!G$1)</f>
        <v/>
      </c>
      <c r="D11" s="7"/>
      <c r="F11" s="5"/>
      <c r="G11" s="12" t="s">
        <v>21</v>
      </c>
      <c r="H11" s="11"/>
      <c r="I11" s="7"/>
      <c r="K11" s="36" t="s">
        <v>22</v>
      </c>
      <c r="L11" s="37"/>
      <c r="M11" s="38"/>
      <c r="O11" s="15"/>
      <c r="P11" s="16"/>
      <c r="R11" s="42" t="s">
        <v>23</v>
      </c>
      <c r="S11" s="43"/>
      <c r="Z11" s="1">
        <v>4</v>
      </c>
      <c r="AA11" s="1">
        <v>-0.22</v>
      </c>
    </row>
    <row r="12" spans="2:27" ht="20.25" thickBot="1" x14ac:dyDescent="0.4">
      <c r="B12" s="5"/>
      <c r="C12" s="18" t="str">
        <f>IF(Data!H$1="","",Data!H$1)</f>
        <v/>
      </c>
      <c r="D12" s="7"/>
      <c r="F12" s="5"/>
      <c r="G12" s="12" t="s">
        <v>24</v>
      </c>
      <c r="H12" s="11"/>
      <c r="I12" s="7"/>
      <c r="R12" s="13"/>
      <c r="S12" s="14"/>
      <c r="Z12" s="1">
        <v>5</v>
      </c>
      <c r="AA12" s="1">
        <v>-0.45</v>
      </c>
    </row>
    <row r="13" spans="2:27" ht="20.25" thickBot="1" x14ac:dyDescent="0.4">
      <c r="B13" s="5"/>
      <c r="C13" s="18" t="str">
        <f>IF(Data!I$1="","",Data!I$1)</f>
        <v/>
      </c>
      <c r="D13" s="7"/>
      <c r="F13" s="5"/>
      <c r="G13" s="12" t="s">
        <v>25</v>
      </c>
      <c r="H13" s="11"/>
      <c r="I13" s="7"/>
      <c r="K13" s="19" t="str">
        <f>H5&amp;"(y) Prediction = "</f>
        <v xml:space="preserve">depression(y) Prediction = </v>
      </c>
      <c r="L13" s="20" t="e">
        <f>ROUND(IFERROR(VLOOKUP(K14,$S$15:$T$77,2,FALSE)*L14,0)+IFERROR(VLOOKUP(K15,$S$15:$T$77,2,FALSE)*L15,0)+IFERROR(VLOOKUP(K16,$S$15:$T$77,2,FALSE)*L16,0)+IFERROR(VLOOKUP(K17,$S$15:$T$77,2,FALSE)*L17,0)+IFERROR(VLOOKUP(K18,$S$15:$T$77,2,FALSE)*L18,0)+IFERROR(VLOOKUP(K19,$S$15:$T$77,2,FALSE)*L19,0)+IFERROR(VLOOKUP(K20,$S$15:$T$77,2,FALSE)*L20,0)+IFERROR(VLOOKUP(K21,$S$15:$T$77,2,FALSE)*L21,0)+IFERROR(VLOOKUP(K22,$S$15:$T$77,2,FALSE)*L22,0)+IFERROR(VLOOKUP(K23,$S$15:$T$77,2,FALSE)*L23,0)+IFERROR(VLOOKUP(K24,$S$15:$T$77,2,FALSE)*L24,0)+IFERROR(VLOOKUP(K25,$S$15:$T$77,2,FALSE)*L25,0)+IFERROR(VLOOKUP(K26,$S$15:$T$77,2,FALSE)*L26,0)+IFERROR(VLOOKUP(K27,$S$15:$T$77,2,FALSE)*L27,0)+IFERROR(VLOOKUP(K28,$S$15:$T$77,2,FALSE)*L28,0)+IFERROR(VLOOKUP(K29,$S$15:$T$77,2,FALSE)*L29,0)+IFERROR(VLOOKUP(K30,$S$15:$T$77,2,FALSE)*L30,0)+IFERROR(VLOOKUP(K31,$S$15:$T$77,2,FALSE)*L31,0)+IFERROR(VLOOKUP(K32,$S$15:$T$77,2,FALSE)*L32,0)+IFERROR(VLOOKUP(K33,$S$15:$T$77,2,FALSE)*L33,0)+VLOOKUP("Intercept",$S$15:$T$77,2,FALSE),4)</f>
        <v>#N/A</v>
      </c>
      <c r="R13" s="15"/>
      <c r="S13" s="16"/>
      <c r="Z13" s="1">
        <v>6</v>
      </c>
      <c r="AA13" s="1">
        <v>-0.17</v>
      </c>
    </row>
    <row r="14" spans="2:27" ht="19.5" x14ac:dyDescent="0.35">
      <c r="B14" s="5"/>
      <c r="C14" s="18" t="str">
        <f>IF(Data!J$1="","",Data!J$1)</f>
        <v/>
      </c>
      <c r="D14" s="7"/>
      <c r="F14" s="5"/>
      <c r="G14" s="12" t="s">
        <v>26</v>
      </c>
      <c r="H14" s="11"/>
      <c r="I14" s="7"/>
      <c r="K14" s="21" t="str">
        <f>IF(H6&lt;&gt;"",H6,"")</f>
        <v>simplicity</v>
      </c>
      <c r="L14" s="22"/>
      <c r="R14" s="15"/>
      <c r="S14" s="16"/>
      <c r="Z14" s="1">
        <v>7</v>
      </c>
      <c r="AA14" s="1">
        <v>-0.22</v>
      </c>
    </row>
    <row r="15" spans="2:27" ht="19.5" x14ac:dyDescent="0.35">
      <c r="B15" s="5"/>
      <c r="C15" s="18" t="str">
        <f>IF(Data!K$1="","",Data!K$1)</f>
        <v/>
      </c>
      <c r="D15" s="7"/>
      <c r="F15" s="5"/>
      <c r="G15" s="12" t="s">
        <v>27</v>
      </c>
      <c r="H15" s="11"/>
      <c r="I15" s="7"/>
      <c r="K15" s="21" t="str">
        <f t="shared" ref="K15:K33" si="0">IF(H7&lt;&gt;"",H7,"")</f>
        <v>fatalism</v>
      </c>
      <c r="L15" s="22"/>
      <c r="R15" s="15"/>
      <c r="S15" s="16"/>
      <c r="Z15" s="1">
        <v>8</v>
      </c>
      <c r="AA15" s="1">
        <v>-0.25</v>
      </c>
    </row>
    <row r="16" spans="2:27" ht="19.5" x14ac:dyDescent="0.35">
      <c r="B16" s="5"/>
      <c r="C16" s="18" t="str">
        <f>IF(Data!L$1="","",Data!L$1)</f>
        <v/>
      </c>
      <c r="D16" s="7"/>
      <c r="F16" s="5"/>
      <c r="G16" s="12" t="s">
        <v>28</v>
      </c>
      <c r="H16" s="11"/>
      <c r="I16" s="7"/>
      <c r="K16" s="21" t="str">
        <f t="shared" si="0"/>
        <v/>
      </c>
      <c r="L16" s="23"/>
      <c r="Z16" s="1">
        <v>9</v>
      </c>
      <c r="AA16" s="1">
        <v>-0.21</v>
      </c>
    </row>
    <row r="17" spans="2:27" ht="19.5" x14ac:dyDescent="0.35">
      <c r="B17" s="5"/>
      <c r="C17" s="18" t="str">
        <f>IF(Data!M$1="","",Data!M$1)</f>
        <v/>
      </c>
      <c r="D17" s="7"/>
      <c r="F17" s="5"/>
      <c r="G17" s="12" t="s">
        <v>29</v>
      </c>
      <c r="H17" s="11"/>
      <c r="I17" s="7"/>
      <c r="K17" s="21" t="str">
        <f t="shared" si="0"/>
        <v/>
      </c>
      <c r="L17" s="23"/>
      <c r="O17" s="24" t="s">
        <v>30</v>
      </c>
      <c r="P17" s="25"/>
      <c r="Q17" s="25"/>
      <c r="R17" s="24" t="s">
        <v>31</v>
      </c>
      <c r="S17" s="25"/>
      <c r="T17" s="25"/>
      <c r="Z17" s="1">
        <v>10</v>
      </c>
      <c r="AA17" s="1">
        <v>-0.17</v>
      </c>
    </row>
    <row r="18" spans="2:27" ht="19.5" x14ac:dyDescent="0.35">
      <c r="B18" s="5"/>
      <c r="C18" s="18" t="str">
        <f>IF(Data!N$1="","",Data!N$1)</f>
        <v/>
      </c>
      <c r="D18" s="7"/>
      <c r="F18" s="5"/>
      <c r="G18" s="12" t="s">
        <v>32</v>
      </c>
      <c r="H18" s="11"/>
      <c r="I18" s="7"/>
      <c r="K18" s="21" t="str">
        <f t="shared" si="0"/>
        <v/>
      </c>
      <c r="L18" s="23"/>
      <c r="O18" s="26"/>
      <c r="P18" s="16"/>
      <c r="Q18" s="16"/>
      <c r="R18" s="26"/>
      <c r="S18" s="16"/>
      <c r="T18" s="16"/>
      <c r="Z18" s="1">
        <v>11</v>
      </c>
      <c r="AA18" s="1">
        <v>0</v>
      </c>
    </row>
    <row r="19" spans="2:27" ht="19.5" x14ac:dyDescent="0.35">
      <c r="B19" s="5"/>
      <c r="C19" s="18" t="str">
        <f>IF(Data!O$1="","",Data!O$1)</f>
        <v/>
      </c>
      <c r="D19" s="7"/>
      <c r="F19" s="5"/>
      <c r="G19" s="12" t="s">
        <v>33</v>
      </c>
      <c r="H19" s="11"/>
      <c r="I19" s="7"/>
      <c r="K19" s="21" t="str">
        <f t="shared" si="0"/>
        <v/>
      </c>
      <c r="L19" s="23"/>
      <c r="O19" s="26"/>
      <c r="P19" s="16"/>
      <c r="Q19" s="16"/>
      <c r="R19" s="26"/>
      <c r="S19" s="16"/>
      <c r="T19" s="16"/>
      <c r="Z19" s="1">
        <v>12</v>
      </c>
      <c r="AA19" s="1">
        <v>3.1E-2</v>
      </c>
    </row>
    <row r="20" spans="2:27" ht="19.5" x14ac:dyDescent="0.35">
      <c r="B20" s="5"/>
      <c r="C20" s="18" t="str">
        <f>IF(Data!P$1="","",Data!P$1)</f>
        <v/>
      </c>
      <c r="D20" s="7"/>
      <c r="F20" s="5"/>
      <c r="G20" s="12" t="s">
        <v>34</v>
      </c>
      <c r="H20" s="11"/>
      <c r="I20" s="7"/>
      <c r="K20" s="21" t="str">
        <f t="shared" si="0"/>
        <v/>
      </c>
      <c r="L20" s="23"/>
      <c r="O20" s="26"/>
      <c r="P20" s="16"/>
      <c r="Q20" s="16"/>
      <c r="R20" s="26"/>
      <c r="S20" s="16"/>
      <c r="T20" s="16"/>
      <c r="Z20" s="1">
        <v>13</v>
      </c>
      <c r="AA20" s="1">
        <v>-0.22</v>
      </c>
    </row>
    <row r="21" spans="2:27" ht="19.5" x14ac:dyDescent="0.35">
      <c r="B21" s="5"/>
      <c r="C21" s="18" t="str">
        <f>IF(Data!Q$1="","",Data!Q$1)</f>
        <v/>
      </c>
      <c r="D21" s="7"/>
      <c r="F21" s="5"/>
      <c r="G21" s="12" t="s">
        <v>35</v>
      </c>
      <c r="H21" s="11"/>
      <c r="I21" s="7"/>
      <c r="K21" s="21" t="str">
        <f t="shared" si="0"/>
        <v/>
      </c>
      <c r="L21" s="23"/>
      <c r="Z21" s="1">
        <v>14</v>
      </c>
      <c r="AA21" s="1">
        <v>-0.23</v>
      </c>
    </row>
    <row r="22" spans="2:27" ht="19.5" x14ac:dyDescent="0.35">
      <c r="B22" s="5"/>
      <c r="C22" s="18" t="str">
        <f>IF(Data!R$1="","",Data!R$1)</f>
        <v/>
      </c>
      <c r="D22" s="7"/>
      <c r="F22" s="5"/>
      <c r="G22" s="12" t="s">
        <v>36</v>
      </c>
      <c r="H22" s="11"/>
      <c r="I22" s="7"/>
      <c r="K22" s="21" t="str">
        <f t="shared" si="0"/>
        <v/>
      </c>
      <c r="L22" s="23"/>
      <c r="Z22" s="1">
        <v>15</v>
      </c>
      <c r="AA22" s="1">
        <v>-0.43</v>
      </c>
    </row>
    <row r="23" spans="2:27" ht="19.5" x14ac:dyDescent="0.35">
      <c r="B23" s="5"/>
      <c r="C23" s="18" t="str">
        <f>IF(Data!S$1="","",Data!S$1)</f>
        <v/>
      </c>
      <c r="D23" s="7"/>
      <c r="F23" s="5"/>
      <c r="G23" s="12" t="s">
        <v>37</v>
      </c>
      <c r="H23" s="11"/>
      <c r="I23" s="7"/>
      <c r="K23" s="21" t="str">
        <f t="shared" si="0"/>
        <v/>
      </c>
      <c r="L23" s="23"/>
      <c r="Z23" s="1">
        <v>16</v>
      </c>
      <c r="AA23" s="1">
        <v>0</v>
      </c>
    </row>
    <row r="24" spans="2:27" ht="19.5" x14ac:dyDescent="0.35">
      <c r="B24" s="5"/>
      <c r="C24" s="18" t="str">
        <f>IF(Data!T$1="","",Data!T$1)</f>
        <v/>
      </c>
      <c r="D24" s="7"/>
      <c r="F24" s="5"/>
      <c r="G24" s="12" t="s">
        <v>38</v>
      </c>
      <c r="H24" s="11"/>
      <c r="I24" s="7"/>
      <c r="K24" s="21" t="str">
        <f t="shared" si="0"/>
        <v/>
      </c>
      <c r="L24" s="23"/>
      <c r="Z24" s="1">
        <v>17</v>
      </c>
      <c r="AA24" s="1">
        <v>-0.44</v>
      </c>
    </row>
    <row r="25" spans="2:27" ht="19.5" x14ac:dyDescent="0.35">
      <c r="B25" s="5"/>
      <c r="C25" s="11" t="str">
        <f>IF(Data!U$1="","",Data!U$1)</f>
        <v/>
      </c>
      <c r="D25" s="7"/>
      <c r="F25" s="5"/>
      <c r="G25" s="12" t="s">
        <v>39</v>
      </c>
      <c r="H25" s="11"/>
      <c r="I25" s="7"/>
      <c r="K25" s="21" t="str">
        <f t="shared" si="0"/>
        <v/>
      </c>
      <c r="L25" s="23"/>
      <c r="Z25" s="1">
        <v>18</v>
      </c>
      <c r="AA25" s="1">
        <v>-0.13</v>
      </c>
    </row>
    <row r="26" spans="2:27" ht="15" x14ac:dyDescent="0.2">
      <c r="B26" s="5"/>
      <c r="C26" s="11"/>
      <c r="D26" s="7"/>
      <c r="F26" s="5"/>
      <c r="G26" s="9"/>
      <c r="H26" s="9"/>
      <c r="I26" s="7"/>
      <c r="K26" s="21" t="str">
        <f t="shared" si="0"/>
        <v/>
      </c>
      <c r="L26" s="23"/>
      <c r="Z26" s="1">
        <v>19</v>
      </c>
      <c r="AA26" s="1">
        <v>-0.01</v>
      </c>
    </row>
    <row r="27" spans="2:27" ht="15" x14ac:dyDescent="0.2">
      <c r="B27" s="5"/>
      <c r="C27" s="11"/>
      <c r="D27" s="7"/>
      <c r="F27" s="5"/>
      <c r="G27" s="9"/>
      <c r="H27" s="9"/>
      <c r="I27" s="7"/>
      <c r="K27" s="21" t="str">
        <f t="shared" si="0"/>
        <v/>
      </c>
      <c r="L27" s="23"/>
      <c r="Z27" s="1">
        <v>20</v>
      </c>
      <c r="AA27" s="1">
        <v>-0.17</v>
      </c>
    </row>
    <row r="28" spans="2:27" ht="15" x14ac:dyDescent="0.2">
      <c r="B28" s="5"/>
      <c r="C28" s="11"/>
      <c r="D28" s="7"/>
      <c r="F28" s="5"/>
      <c r="G28" s="9"/>
      <c r="H28" s="9"/>
      <c r="I28" s="7"/>
      <c r="K28" s="21" t="str">
        <f t="shared" si="0"/>
        <v/>
      </c>
      <c r="L28" s="23"/>
      <c r="Z28" s="1">
        <v>21</v>
      </c>
      <c r="AA28" s="1">
        <v>-0.45</v>
      </c>
    </row>
    <row r="29" spans="2:27" ht="15" x14ac:dyDescent="0.2">
      <c r="B29" s="5"/>
      <c r="C29" s="11"/>
      <c r="D29" s="7"/>
      <c r="F29" s="5"/>
      <c r="G29" s="9"/>
      <c r="H29" s="9"/>
      <c r="I29" s="7"/>
      <c r="K29" s="21" t="str">
        <f t="shared" si="0"/>
        <v/>
      </c>
      <c r="L29" s="23"/>
      <c r="Z29" s="1">
        <v>22</v>
      </c>
      <c r="AA29" s="1">
        <v>-0.33</v>
      </c>
    </row>
    <row r="30" spans="2:27" ht="15.75" thickBot="1" x14ac:dyDescent="0.25">
      <c r="B30" s="27"/>
      <c r="C30" s="28"/>
      <c r="D30" s="29"/>
      <c r="F30" s="27"/>
      <c r="G30" s="30"/>
      <c r="H30" s="30"/>
      <c r="I30" s="29"/>
      <c r="K30" s="21" t="str">
        <f t="shared" si="0"/>
        <v/>
      </c>
      <c r="L30" s="23"/>
      <c r="P30" s="35" t="s">
        <v>40</v>
      </c>
      <c r="Z30" s="1">
        <v>23</v>
      </c>
      <c r="AA30" s="1">
        <v>-0.05</v>
      </c>
    </row>
    <row r="31" spans="2:27" ht="15" x14ac:dyDescent="0.2">
      <c r="K31" s="21" t="str">
        <f t="shared" si="0"/>
        <v/>
      </c>
      <c r="L31" s="23"/>
      <c r="Z31" s="1">
        <v>24</v>
      </c>
      <c r="AA31" s="1">
        <v>-0.19</v>
      </c>
    </row>
    <row r="32" spans="2:27" ht="15" x14ac:dyDescent="0.2">
      <c r="K32" s="21" t="str">
        <f t="shared" si="0"/>
        <v/>
      </c>
      <c r="L32" s="23"/>
      <c r="Z32" s="1">
        <v>25</v>
      </c>
      <c r="AA32" s="1">
        <v>-0.32</v>
      </c>
    </row>
    <row r="33" spans="11:27" ht="15" x14ac:dyDescent="0.2">
      <c r="K33" s="21" t="str">
        <f t="shared" si="0"/>
        <v/>
      </c>
      <c r="L33" s="23"/>
      <c r="Z33" s="1">
        <v>26</v>
      </c>
      <c r="AA33" s="1">
        <v>-0.14000000000000001</v>
      </c>
    </row>
    <row r="34" spans="11:27" ht="15" x14ac:dyDescent="0.2">
      <c r="K34" s="31"/>
      <c r="Z34" s="1">
        <v>27</v>
      </c>
      <c r="AA34" s="1">
        <v>-0.06</v>
      </c>
    </row>
    <row r="35" spans="11:27" x14ac:dyDescent="0.2">
      <c r="Z35" s="1">
        <v>28</v>
      </c>
      <c r="AA35" s="1">
        <v>-0.23</v>
      </c>
    </row>
    <row r="36" spans="11:27" x14ac:dyDescent="0.2">
      <c r="Z36" s="1">
        <v>29</v>
      </c>
      <c r="AA36" s="1">
        <v>-0.48</v>
      </c>
    </row>
    <row r="37" spans="11:27" x14ac:dyDescent="0.2">
      <c r="Z37" s="1">
        <v>30</v>
      </c>
      <c r="AA37" s="1">
        <v>-0.39</v>
      </c>
    </row>
    <row r="38" spans="11:27" x14ac:dyDescent="0.2">
      <c r="Z38" s="1">
        <v>31</v>
      </c>
      <c r="AA38" s="1">
        <v>-0.46</v>
      </c>
    </row>
    <row r="39" spans="11:27" x14ac:dyDescent="0.2">
      <c r="Z39" s="1">
        <v>32</v>
      </c>
      <c r="AA39" s="1">
        <v>-0.18</v>
      </c>
    </row>
    <row r="40" spans="11:27" x14ac:dyDescent="0.2">
      <c r="Z40" s="1">
        <v>33</v>
      </c>
      <c r="AA40" s="1">
        <v>-0.23</v>
      </c>
    </row>
    <row r="41" spans="11:27" x14ac:dyDescent="0.2">
      <c r="Z41" s="1">
        <v>34</v>
      </c>
      <c r="AA41" s="1">
        <v>-0.37</v>
      </c>
    </row>
    <row r="42" spans="11:27" x14ac:dyDescent="0.2">
      <c r="Z42" s="1">
        <v>35</v>
      </c>
      <c r="AA42" s="1">
        <v>-0.28999999999999998</v>
      </c>
    </row>
    <row r="43" spans="11:27" x14ac:dyDescent="0.2">
      <c r="Z43" s="1">
        <v>36</v>
      </c>
      <c r="AA43" s="1">
        <v>-0.2</v>
      </c>
    </row>
    <row r="44" spans="11:27" x14ac:dyDescent="0.2">
      <c r="Z44" s="1">
        <v>37</v>
      </c>
      <c r="AA44" s="1">
        <v>-0.13</v>
      </c>
    </row>
    <row r="45" spans="11:27" x14ac:dyDescent="0.2">
      <c r="Z45" s="1">
        <v>38</v>
      </c>
      <c r="AA45" s="1">
        <v>1E-3</v>
      </c>
    </row>
    <row r="46" spans="11:27" x14ac:dyDescent="0.2">
      <c r="Z46" s="1">
        <v>39</v>
      </c>
      <c r="AA46" s="1">
        <v>0.06</v>
      </c>
    </row>
    <row r="47" spans="11:27" x14ac:dyDescent="0.2">
      <c r="Z47" s="1">
        <v>40</v>
      </c>
      <c r="AA47" s="1">
        <v>-0.11</v>
      </c>
    </row>
    <row r="48" spans="11:27" x14ac:dyDescent="0.2">
      <c r="Z48" s="1">
        <v>41</v>
      </c>
      <c r="AA48" s="1">
        <v>0.25900000000000001</v>
      </c>
    </row>
    <row r="49" spans="26:27" x14ac:dyDescent="0.2">
      <c r="Z49" s="1">
        <v>42</v>
      </c>
      <c r="AA49" s="1">
        <v>-0.01</v>
      </c>
    </row>
    <row r="50" spans="26:27" x14ac:dyDescent="0.2">
      <c r="Z50" s="1">
        <v>43</v>
      </c>
      <c r="AA50" s="1">
        <v>0.26200000000000001</v>
      </c>
    </row>
    <row r="51" spans="26:27" x14ac:dyDescent="0.2">
      <c r="Z51" s="1">
        <v>44</v>
      </c>
      <c r="AA51" s="1">
        <v>0.219</v>
      </c>
    </row>
    <row r="52" spans="26:27" x14ac:dyDescent="0.2">
      <c r="Z52" s="1">
        <v>45</v>
      </c>
      <c r="AA52" s="1">
        <v>0.13</v>
      </c>
    </row>
    <row r="53" spans="26:27" x14ac:dyDescent="0.2">
      <c r="Z53" s="1">
        <v>46</v>
      </c>
      <c r="AA53" s="1">
        <v>0.27600000000000002</v>
      </c>
    </row>
    <row r="54" spans="26:27" x14ac:dyDescent="0.2">
      <c r="Z54" s="1">
        <v>47</v>
      </c>
      <c r="AA54" s="1">
        <v>-0.04</v>
      </c>
    </row>
    <row r="55" spans="26:27" x14ac:dyDescent="0.2">
      <c r="Z55" s="1">
        <v>48</v>
      </c>
      <c r="AA55" s="1">
        <v>-7.0000000000000007E-2</v>
      </c>
    </row>
    <row r="56" spans="26:27" x14ac:dyDescent="0.2">
      <c r="Z56" s="1">
        <v>49</v>
      </c>
      <c r="AA56" s="1">
        <v>-0.28999999999999998</v>
      </c>
    </row>
    <row r="57" spans="26:27" x14ac:dyDescent="0.2">
      <c r="Z57" s="1">
        <v>50</v>
      </c>
      <c r="AA57" s="1">
        <v>0.17299999999999999</v>
      </c>
    </row>
    <row r="58" spans="26:27" x14ac:dyDescent="0.2">
      <c r="Z58" s="1">
        <v>51</v>
      </c>
      <c r="AA58" s="1">
        <v>0.11899999999999999</v>
      </c>
    </row>
    <row r="59" spans="26:27" x14ac:dyDescent="0.2">
      <c r="Z59" s="1">
        <v>52</v>
      </c>
      <c r="AA59" s="1">
        <v>-0.32</v>
      </c>
    </row>
    <row r="60" spans="26:27" x14ac:dyDescent="0.2">
      <c r="Z60" s="1">
        <v>53</v>
      </c>
      <c r="AA60" s="1">
        <v>0.122</v>
      </c>
    </row>
    <row r="61" spans="26:27" x14ac:dyDescent="0.2">
      <c r="Z61" s="1">
        <v>54</v>
      </c>
      <c r="AA61" s="1">
        <v>2.5000000000000001E-2</v>
      </c>
    </row>
    <row r="62" spans="26:27" x14ac:dyDescent="0.2">
      <c r="Z62" s="1">
        <v>55</v>
      </c>
      <c r="AA62" s="1">
        <v>0</v>
      </c>
    </row>
    <row r="63" spans="26:27" x14ac:dyDescent="0.2">
      <c r="Z63" s="1">
        <v>56</v>
      </c>
      <c r="AA63" s="1">
        <v>0.35499999999999998</v>
      </c>
    </row>
    <row r="64" spans="26:27" x14ac:dyDescent="0.2">
      <c r="Z64" s="1">
        <v>57</v>
      </c>
      <c r="AA64" s="1">
        <v>-0.04</v>
      </c>
    </row>
    <row r="65" spans="26:27" x14ac:dyDescent="0.2">
      <c r="Z65" s="1">
        <v>58</v>
      </c>
      <c r="AA65" s="1">
        <v>-0.19</v>
      </c>
    </row>
    <row r="66" spans="26:27" x14ac:dyDescent="0.2">
      <c r="Z66" s="1">
        <v>59</v>
      </c>
      <c r="AA66" s="1">
        <v>7.5999999999999998E-2</v>
      </c>
    </row>
    <row r="67" spans="26:27" x14ac:dyDescent="0.2">
      <c r="Z67" s="1">
        <v>60</v>
      </c>
      <c r="AA67" s="1">
        <v>6.6000000000000003E-2</v>
      </c>
    </row>
    <row r="68" spans="26:27" x14ac:dyDescent="0.2">
      <c r="Z68" s="1">
        <v>61</v>
      </c>
      <c r="AA68" s="1">
        <v>0.38500000000000001</v>
      </c>
    </row>
    <row r="69" spans="26:27" x14ac:dyDescent="0.2">
      <c r="Z69" s="1">
        <v>62</v>
      </c>
      <c r="AA69" s="1">
        <v>0.84299999999999997</v>
      </c>
    </row>
    <row r="70" spans="26:27" x14ac:dyDescent="0.2">
      <c r="Z70" s="1">
        <v>63</v>
      </c>
      <c r="AA70" s="1">
        <v>0.61699999999999999</v>
      </c>
    </row>
    <row r="71" spans="26:27" x14ac:dyDescent="0.2">
      <c r="Z71" s="1">
        <v>64</v>
      </c>
      <c r="AA71" s="1">
        <v>-0.67</v>
      </c>
    </row>
    <row r="72" spans="26:27" x14ac:dyDescent="0.2">
      <c r="Z72" s="1">
        <v>65</v>
      </c>
      <c r="AA72" s="1">
        <v>0.55500000000000005</v>
      </c>
    </row>
    <row r="73" spans="26:27" x14ac:dyDescent="0.2">
      <c r="Z73" s="1">
        <v>66</v>
      </c>
      <c r="AA73" s="1">
        <v>-0.34</v>
      </c>
    </row>
    <row r="74" spans="26:27" x14ac:dyDescent="0.2">
      <c r="Z74" s="1">
        <v>67</v>
      </c>
      <c r="AA74" s="1">
        <v>0.628</v>
      </c>
    </row>
    <row r="75" spans="26:27" x14ac:dyDescent="0.2">
      <c r="Z75" s="1">
        <v>68</v>
      </c>
      <c r="AA75" s="1">
        <v>0.315</v>
      </c>
    </row>
    <row r="76" spans="26:27" x14ac:dyDescent="0.2">
      <c r="Z76" s="1">
        <v>69</v>
      </c>
      <c r="AA76" s="1">
        <v>0.90500000000000003</v>
      </c>
    </row>
    <row r="77" spans="26:27" x14ac:dyDescent="0.2">
      <c r="Z77" s="1">
        <v>70</v>
      </c>
      <c r="AA77" s="1">
        <v>1.1000000000000001</v>
      </c>
    </row>
    <row r="78" spans="26:27" x14ac:dyDescent="0.2">
      <c r="Z78" s="1">
        <v>71</v>
      </c>
      <c r="AA78" s="1">
        <v>0.434</v>
      </c>
    </row>
    <row r="79" spans="26:27" x14ac:dyDescent="0.2">
      <c r="Z79" s="1">
        <v>72</v>
      </c>
      <c r="AA79" s="1">
        <v>0.312</v>
      </c>
    </row>
    <row r="80" spans="26:27" x14ac:dyDescent="0.2">
      <c r="Z80" s="1">
        <v>73</v>
      </c>
      <c r="AA80" s="1">
        <v>0.29699999999999999</v>
      </c>
    </row>
    <row r="81" spans="26:27" x14ac:dyDescent="0.2">
      <c r="Z81" s="1">
        <v>74</v>
      </c>
      <c r="AA81" s="1">
        <v>0.56000000000000005</v>
      </c>
    </row>
    <row r="82" spans="26:27" x14ac:dyDescent="0.2">
      <c r="Z82" s="1">
        <v>75</v>
      </c>
      <c r="AA82" s="1">
        <v>5.7000000000000002E-2</v>
      </c>
    </row>
    <row r="83" spans="26:27" x14ac:dyDescent="0.2">
      <c r="Z83" s="1">
        <v>76</v>
      </c>
      <c r="AA83" s="1">
        <v>0.126</v>
      </c>
    </row>
    <row r="84" spans="26:27" x14ac:dyDescent="0.2">
      <c r="Z84" s="1">
        <v>77</v>
      </c>
      <c r="AA84" s="1">
        <v>0.11700000000000001</v>
      </c>
    </row>
    <row r="85" spans="26:27" x14ac:dyDescent="0.2">
      <c r="Z85" s="1">
        <v>78</v>
      </c>
      <c r="AA85" s="1">
        <v>-0.4</v>
      </c>
    </row>
    <row r="86" spans="26:27" x14ac:dyDescent="0.2">
      <c r="Z86" s="1">
        <v>79</v>
      </c>
      <c r="AA86" s="1">
        <v>0.69099999999999995</v>
      </c>
    </row>
    <row r="87" spans="26:27" x14ac:dyDescent="0.2">
      <c r="Z87" s="1">
        <v>80</v>
      </c>
      <c r="AA87" s="1">
        <v>0.23400000000000001</v>
      </c>
    </row>
    <row r="88" spans="26:27" x14ac:dyDescent="0.2">
      <c r="Z88" s="1">
        <v>81</v>
      </c>
      <c r="AA88" s="1">
        <v>0.495</v>
      </c>
    </row>
  </sheetData>
  <mergeCells count="9">
    <mergeCell ref="K7:M7"/>
    <mergeCell ref="K9:M9"/>
    <mergeCell ref="K11:M11"/>
    <mergeCell ref="R11:S11"/>
    <mergeCell ref="G3:H3"/>
    <mergeCell ref="K3:M3"/>
    <mergeCell ref="O3:T3"/>
    <mergeCell ref="O5:P5"/>
    <mergeCell ref="R5:S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inearRegression">
                <anchor moveWithCells="1" sizeWithCells="1">
                  <from>
                    <xdr:col>14</xdr:col>
                    <xdr:colOff>1009650</xdr:colOff>
                    <xdr:row>22</xdr:row>
                    <xdr:rowOff>19050</xdr:rowOff>
                  </from>
                  <to>
                    <xdr:col>17</xdr:col>
                    <xdr:colOff>790575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3"/>
  <sheetViews>
    <sheetView workbookViewId="0"/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25">
      <c r="A2">
        <v>0.92983000000000005</v>
      </c>
      <c r="B2">
        <v>0.35588999999999998</v>
      </c>
      <c r="C2">
        <v>0.59870000000000001</v>
      </c>
      <c r="D2">
        <v>0.75934000000000001</v>
      </c>
      <c r="E2">
        <v>0.10673000000000001</v>
      </c>
      <c r="F2">
        <v>0.41865000000000002</v>
      </c>
    </row>
    <row r="3" spans="1:6" x14ac:dyDescent="0.25">
      <c r="A3">
        <v>0.91096999999999995</v>
      </c>
      <c r="B3">
        <v>1.1843900000000001</v>
      </c>
      <c r="C3">
        <v>0.72787000000000002</v>
      </c>
      <c r="D3">
        <v>0.72716999999999998</v>
      </c>
      <c r="E3">
        <v>0.99914999999999998</v>
      </c>
      <c r="F3">
        <v>0.51688000000000001</v>
      </c>
    </row>
    <row r="4" spans="1:6" x14ac:dyDescent="0.25">
      <c r="A4">
        <v>0.53366000000000002</v>
      </c>
      <c r="B4">
        <v>-5.8369999999999998E-2</v>
      </c>
      <c r="C4">
        <v>0.53410999999999997</v>
      </c>
      <c r="D4">
        <v>0.62175999999999998</v>
      </c>
      <c r="E4">
        <v>3.8109999999999998E-2</v>
      </c>
      <c r="F4">
        <v>0.70699000000000001</v>
      </c>
    </row>
    <row r="5" spans="1:6" x14ac:dyDescent="0.25">
      <c r="A5">
        <v>0.74117999999999995</v>
      </c>
      <c r="B5">
        <v>0.35588999999999998</v>
      </c>
      <c r="C5">
        <v>0.56640999999999997</v>
      </c>
      <c r="D5">
        <v>0.83521999999999996</v>
      </c>
      <c r="E5">
        <v>0.42218</v>
      </c>
      <c r="F5">
        <v>0.65639000000000003</v>
      </c>
    </row>
    <row r="6" spans="1:6" x14ac:dyDescent="0.25">
      <c r="A6">
        <v>0.53366000000000002</v>
      </c>
      <c r="B6">
        <v>0.77014000000000005</v>
      </c>
      <c r="C6">
        <v>0.50182000000000004</v>
      </c>
      <c r="D6">
        <v>0.47697000000000001</v>
      </c>
      <c r="E6">
        <v>0.81423000000000001</v>
      </c>
      <c r="F6">
        <v>0.53517999999999999</v>
      </c>
    </row>
    <row r="7" spans="1:6" x14ac:dyDescent="0.25">
      <c r="A7">
        <v>0.62799000000000005</v>
      </c>
      <c r="B7">
        <v>1.3915200000000001</v>
      </c>
      <c r="C7">
        <v>0.56640999999999997</v>
      </c>
      <c r="D7">
        <v>0.40664</v>
      </c>
      <c r="E7">
        <v>1.23261</v>
      </c>
      <c r="F7">
        <v>0.34042</v>
      </c>
    </row>
    <row r="8" spans="1:6" x14ac:dyDescent="0.25">
      <c r="A8">
        <v>0.77890999999999999</v>
      </c>
      <c r="B8">
        <v>0.35588999999999998</v>
      </c>
      <c r="C8">
        <v>0.46953</v>
      </c>
      <c r="D8">
        <v>0.84555999999999998</v>
      </c>
      <c r="E8">
        <v>0.29788999999999999</v>
      </c>
      <c r="F8">
        <v>0.42168</v>
      </c>
    </row>
    <row r="9" spans="1:6" x14ac:dyDescent="0.25">
      <c r="A9">
        <v>0.83550000000000002</v>
      </c>
      <c r="B9">
        <v>0.56301000000000001</v>
      </c>
      <c r="C9">
        <v>0.53410999999999997</v>
      </c>
      <c r="D9">
        <v>1.4996100000000001</v>
      </c>
      <c r="E9">
        <v>1.20366</v>
      </c>
      <c r="F9">
        <v>1.08127</v>
      </c>
    </row>
    <row r="10" spans="1:6" x14ac:dyDescent="0.25">
      <c r="A10">
        <v>0.51480000000000004</v>
      </c>
      <c r="B10">
        <v>0.77014000000000005</v>
      </c>
      <c r="C10">
        <v>0.46953</v>
      </c>
      <c r="D10">
        <v>0.31081999999999999</v>
      </c>
      <c r="E10">
        <v>0.65651000000000004</v>
      </c>
      <c r="F10">
        <v>0.36337000000000003</v>
      </c>
    </row>
    <row r="11" spans="1:6" x14ac:dyDescent="0.25">
      <c r="A11">
        <v>0.87322999999999995</v>
      </c>
      <c r="B11">
        <v>0.35588999999999998</v>
      </c>
      <c r="C11">
        <v>0.46953</v>
      </c>
      <c r="D11">
        <v>1.4083600000000001</v>
      </c>
      <c r="E11">
        <v>0.85390999999999995</v>
      </c>
      <c r="F11">
        <v>0.91710999999999998</v>
      </c>
    </row>
    <row r="12" spans="1:6" x14ac:dyDescent="0.25">
      <c r="A12">
        <v>0.53366000000000002</v>
      </c>
      <c r="B12">
        <v>0.56301000000000001</v>
      </c>
      <c r="C12">
        <v>0.46953</v>
      </c>
      <c r="D12">
        <v>0.43378</v>
      </c>
      <c r="E12">
        <v>0.41505999999999998</v>
      </c>
      <c r="F12">
        <v>0.32811000000000001</v>
      </c>
    </row>
    <row r="13" spans="1:6" x14ac:dyDescent="0.25">
      <c r="A13">
        <v>0.74117999999999995</v>
      </c>
      <c r="B13">
        <v>0.35588999999999998</v>
      </c>
      <c r="C13">
        <v>0.63099000000000005</v>
      </c>
      <c r="D13">
        <v>0.53485000000000005</v>
      </c>
      <c r="E13">
        <v>6.5310000000000007E-2</v>
      </c>
      <c r="F13">
        <v>0.41099999999999998</v>
      </c>
    </row>
    <row r="14" spans="1:6" x14ac:dyDescent="0.25">
      <c r="A14">
        <v>0.68457999999999997</v>
      </c>
      <c r="B14">
        <v>-5.8369999999999998E-2</v>
      </c>
      <c r="C14">
        <v>0.46953</v>
      </c>
      <c r="D14">
        <v>1.1730799999999999</v>
      </c>
      <c r="E14">
        <v>0.30413000000000001</v>
      </c>
      <c r="F14">
        <v>0.83121999999999996</v>
      </c>
    </row>
    <row r="15" spans="1:6" x14ac:dyDescent="0.25">
      <c r="A15">
        <v>0.47706999999999999</v>
      </c>
      <c r="B15">
        <v>0.97726999999999997</v>
      </c>
      <c r="C15">
        <v>0.56640999999999997</v>
      </c>
      <c r="D15">
        <v>0.42365999999999998</v>
      </c>
      <c r="E15">
        <v>1.0891200000000001</v>
      </c>
      <c r="F15">
        <v>0.64871000000000001</v>
      </c>
    </row>
    <row r="16" spans="1:6" x14ac:dyDescent="0.25">
      <c r="A16">
        <v>0.76004000000000005</v>
      </c>
      <c r="B16">
        <v>0.97726999999999997</v>
      </c>
      <c r="C16">
        <v>0.66329000000000005</v>
      </c>
      <c r="D16">
        <v>0.755</v>
      </c>
      <c r="E16">
        <v>1.1305499999999999</v>
      </c>
      <c r="F16">
        <v>0.79752999999999996</v>
      </c>
    </row>
    <row r="17" spans="1:6" x14ac:dyDescent="0.25">
      <c r="A17">
        <v>0.98643000000000003</v>
      </c>
      <c r="B17">
        <v>1.3915200000000001</v>
      </c>
      <c r="C17">
        <v>0.72787000000000002</v>
      </c>
      <c r="D17">
        <v>1.3809899999999999</v>
      </c>
      <c r="E17">
        <v>1.8220700000000001</v>
      </c>
      <c r="F17">
        <v>1.01999</v>
      </c>
    </row>
    <row r="18" spans="1:6" x14ac:dyDescent="0.25">
      <c r="A18">
        <v>0.36387000000000003</v>
      </c>
      <c r="B18">
        <v>0.56301000000000001</v>
      </c>
      <c r="C18">
        <v>0.56640999999999997</v>
      </c>
      <c r="D18">
        <v>0.8206</v>
      </c>
      <c r="E18">
        <v>1.0459400000000001</v>
      </c>
      <c r="F18">
        <v>0.98004000000000002</v>
      </c>
    </row>
    <row r="19" spans="1:6" x14ac:dyDescent="0.25">
      <c r="A19">
        <v>0.83550000000000002</v>
      </c>
      <c r="B19">
        <v>1.1843900000000001</v>
      </c>
      <c r="C19">
        <v>0.56640999999999997</v>
      </c>
      <c r="D19">
        <v>1.2316400000000001</v>
      </c>
      <c r="E19">
        <v>1.6714599999999999</v>
      </c>
      <c r="F19">
        <v>0.92942000000000002</v>
      </c>
    </row>
    <row r="20" spans="1:6" x14ac:dyDescent="0.25">
      <c r="A20">
        <v>0.55252999999999997</v>
      </c>
      <c r="B20">
        <v>0.77014000000000005</v>
      </c>
      <c r="C20">
        <v>0.59870000000000001</v>
      </c>
      <c r="D20">
        <v>0.49834000000000001</v>
      </c>
      <c r="E20">
        <v>0.81423000000000001</v>
      </c>
      <c r="F20">
        <v>0.64105999999999996</v>
      </c>
    </row>
    <row r="21" spans="1:6" x14ac:dyDescent="0.25">
      <c r="A21">
        <v>0.38274000000000002</v>
      </c>
      <c r="B21">
        <v>0.56301000000000001</v>
      </c>
      <c r="C21">
        <v>0.56640999999999997</v>
      </c>
      <c r="D21">
        <v>0.5524</v>
      </c>
      <c r="E21">
        <v>0.73050000000000004</v>
      </c>
      <c r="F21">
        <v>0.70701999999999998</v>
      </c>
    </row>
    <row r="22" spans="1:6" x14ac:dyDescent="0.25">
      <c r="A22">
        <v>0.53366000000000002</v>
      </c>
      <c r="B22">
        <v>0.56301000000000001</v>
      </c>
      <c r="C22">
        <v>0.46953</v>
      </c>
      <c r="D22">
        <v>0.96972999999999998</v>
      </c>
      <c r="E22">
        <v>0.88022999999999996</v>
      </c>
      <c r="F22">
        <v>0.70238999999999996</v>
      </c>
    </row>
    <row r="23" spans="1:6" x14ac:dyDescent="0.25">
      <c r="A23">
        <v>0.70345000000000002</v>
      </c>
      <c r="B23">
        <v>1.3915200000000001</v>
      </c>
      <c r="C23">
        <v>0.59870000000000001</v>
      </c>
      <c r="D23">
        <v>0.77088999999999996</v>
      </c>
      <c r="E23">
        <v>1.5066299999999999</v>
      </c>
      <c r="F23">
        <v>0.60579000000000005</v>
      </c>
    </row>
    <row r="24" spans="1:6" x14ac:dyDescent="0.25">
      <c r="A24">
        <v>1.1184799999999999</v>
      </c>
      <c r="B24">
        <v>0.97726999999999997</v>
      </c>
      <c r="C24">
        <v>0.69557999999999998</v>
      </c>
      <c r="D24">
        <v>1.09622</v>
      </c>
      <c r="E24">
        <v>0.88197999999999999</v>
      </c>
      <c r="F24">
        <v>0.57515000000000005</v>
      </c>
    </row>
    <row r="25" spans="1:6" x14ac:dyDescent="0.25">
      <c r="A25">
        <v>0.74117999999999995</v>
      </c>
      <c r="B25">
        <v>0.56301000000000001</v>
      </c>
      <c r="C25">
        <v>0.66329000000000005</v>
      </c>
      <c r="D25">
        <v>0.83521999999999996</v>
      </c>
      <c r="E25">
        <v>0.65564</v>
      </c>
      <c r="F25">
        <v>0.76227</v>
      </c>
    </row>
    <row r="26" spans="1:6" x14ac:dyDescent="0.25">
      <c r="A26">
        <v>0.57138999999999995</v>
      </c>
      <c r="B26">
        <v>0.97726999999999997</v>
      </c>
      <c r="C26">
        <v>0.63099000000000005</v>
      </c>
      <c r="D26">
        <v>1.0448599999999999</v>
      </c>
      <c r="E26">
        <v>1.4714400000000001</v>
      </c>
      <c r="F26">
        <v>1.0076799999999999</v>
      </c>
    </row>
    <row r="27" spans="1:6" x14ac:dyDescent="0.25">
      <c r="A27">
        <v>0.70345000000000002</v>
      </c>
      <c r="B27">
        <v>0.77014000000000005</v>
      </c>
      <c r="C27">
        <v>0.46953</v>
      </c>
      <c r="D27">
        <v>1.0388599999999999</v>
      </c>
      <c r="E27">
        <v>1.0388299999999999</v>
      </c>
      <c r="F27">
        <v>0.65176999999999996</v>
      </c>
    </row>
    <row r="28" spans="1:6" x14ac:dyDescent="0.25">
      <c r="A28">
        <v>0.47706999999999999</v>
      </c>
      <c r="B28">
        <v>0.56301000000000001</v>
      </c>
      <c r="C28">
        <v>0.46953</v>
      </c>
      <c r="D28">
        <v>0.52525999999999995</v>
      </c>
      <c r="E28">
        <v>0.61421000000000003</v>
      </c>
      <c r="F28">
        <v>0.50756999999999997</v>
      </c>
    </row>
    <row r="29" spans="1:6" x14ac:dyDescent="0.25">
      <c r="A29">
        <v>0.57138999999999995</v>
      </c>
      <c r="B29">
        <v>0.35588999999999998</v>
      </c>
      <c r="C29">
        <v>0.50182000000000004</v>
      </c>
      <c r="D29">
        <v>0.75529000000000002</v>
      </c>
      <c r="E29">
        <v>0.45561000000000001</v>
      </c>
      <c r="F29">
        <v>0.59348999999999996</v>
      </c>
    </row>
    <row r="30" spans="1:6" x14ac:dyDescent="0.25">
      <c r="A30">
        <v>0.64685000000000004</v>
      </c>
      <c r="B30">
        <v>0.77014000000000005</v>
      </c>
      <c r="C30">
        <v>0.53410999999999997</v>
      </c>
      <c r="D30">
        <v>0.58359000000000005</v>
      </c>
      <c r="E30">
        <v>0.73138000000000003</v>
      </c>
      <c r="F30">
        <v>0.48458000000000001</v>
      </c>
    </row>
    <row r="31" spans="1:6" x14ac:dyDescent="0.25">
      <c r="A31">
        <v>0.85436999999999996</v>
      </c>
      <c r="B31">
        <v>1.1843900000000001</v>
      </c>
      <c r="C31">
        <v>0.53410999999999997</v>
      </c>
      <c r="D31">
        <v>0.66305999999999998</v>
      </c>
      <c r="E31">
        <v>0.99914999999999998</v>
      </c>
      <c r="F31">
        <v>0.30513000000000001</v>
      </c>
    </row>
    <row r="32" spans="1:6" x14ac:dyDescent="0.25">
      <c r="A32">
        <v>1.09962</v>
      </c>
      <c r="B32">
        <v>0.97726999999999997</v>
      </c>
      <c r="C32">
        <v>0.63099000000000005</v>
      </c>
      <c r="D32">
        <v>0.95165999999999995</v>
      </c>
      <c r="E32">
        <v>0.80711999999999995</v>
      </c>
      <c r="F32">
        <v>0.45395000000000002</v>
      </c>
    </row>
    <row r="33" spans="1:6" x14ac:dyDescent="0.25">
      <c r="A33">
        <v>1.19394</v>
      </c>
      <c r="B33">
        <v>0.97726999999999997</v>
      </c>
      <c r="C33">
        <v>0.59870000000000001</v>
      </c>
      <c r="D33">
        <v>1.20329</v>
      </c>
      <c r="E33">
        <v>0.96484000000000003</v>
      </c>
      <c r="F33">
        <v>0.55517000000000005</v>
      </c>
    </row>
    <row r="34" spans="1:6" x14ac:dyDescent="0.25">
      <c r="A34">
        <v>0.57138999999999995</v>
      </c>
      <c r="B34">
        <v>0.56301000000000001</v>
      </c>
      <c r="C34">
        <v>0.46953</v>
      </c>
      <c r="D34">
        <v>0.34253</v>
      </c>
      <c r="E34">
        <v>0.29876999999999998</v>
      </c>
      <c r="F34">
        <v>0.23454</v>
      </c>
    </row>
    <row r="35" spans="1:6" x14ac:dyDescent="0.25">
      <c r="A35">
        <v>1.0430200000000001</v>
      </c>
      <c r="B35">
        <v>0.56301000000000001</v>
      </c>
      <c r="C35">
        <v>0.59870000000000001</v>
      </c>
      <c r="D35">
        <v>1.03234</v>
      </c>
      <c r="E35">
        <v>0.49791999999999997</v>
      </c>
      <c r="F35">
        <v>0.55517000000000005</v>
      </c>
    </row>
    <row r="36" spans="1:6" x14ac:dyDescent="0.25">
      <c r="A36">
        <v>1.28827</v>
      </c>
      <c r="B36">
        <v>0.97726999999999997</v>
      </c>
      <c r="C36">
        <v>0.72787000000000002</v>
      </c>
      <c r="D36">
        <v>1.0313600000000001</v>
      </c>
      <c r="E36">
        <v>0.69081999999999999</v>
      </c>
      <c r="F36">
        <v>0.46625</v>
      </c>
    </row>
    <row r="37" spans="1:6" x14ac:dyDescent="0.25">
      <c r="A37">
        <v>0.25068000000000001</v>
      </c>
      <c r="B37">
        <v>1.1843900000000001</v>
      </c>
      <c r="C37">
        <v>0.50182000000000004</v>
      </c>
      <c r="D37">
        <v>0.53680000000000005</v>
      </c>
      <c r="E37">
        <v>1.54718</v>
      </c>
      <c r="F37">
        <v>0.73</v>
      </c>
    </row>
    <row r="38" spans="1:6" x14ac:dyDescent="0.25">
      <c r="A38">
        <v>0.47706999999999999</v>
      </c>
      <c r="B38">
        <v>0.77014000000000005</v>
      </c>
      <c r="C38">
        <v>0.50182000000000004</v>
      </c>
      <c r="D38">
        <v>0.51446000000000003</v>
      </c>
      <c r="E38">
        <v>0.80623999999999996</v>
      </c>
      <c r="F38">
        <v>0.49991999999999998</v>
      </c>
    </row>
    <row r="39" spans="1:6" x14ac:dyDescent="0.25">
      <c r="A39">
        <v>0.91096999999999995</v>
      </c>
      <c r="B39">
        <v>0.35588999999999998</v>
      </c>
      <c r="C39">
        <v>0.56640999999999997</v>
      </c>
      <c r="D39">
        <v>0.99514999999999998</v>
      </c>
      <c r="E39">
        <v>0.29788999999999999</v>
      </c>
      <c r="F39">
        <v>0.52756000000000003</v>
      </c>
    </row>
    <row r="40" spans="1:6" x14ac:dyDescent="0.25">
      <c r="A40">
        <v>0.47706999999999999</v>
      </c>
      <c r="B40">
        <v>0.35588999999999998</v>
      </c>
      <c r="C40">
        <v>0.53410999999999997</v>
      </c>
      <c r="D40">
        <v>0.23569000000000001</v>
      </c>
      <c r="E40">
        <v>6.5310000000000007E-2</v>
      </c>
      <c r="F40">
        <v>0.30513000000000001</v>
      </c>
    </row>
    <row r="41" spans="1:6" x14ac:dyDescent="0.25">
      <c r="A41">
        <v>0.77890999999999999</v>
      </c>
      <c r="B41">
        <v>-5.8369999999999998E-2</v>
      </c>
      <c r="C41">
        <v>0.53410999999999997</v>
      </c>
      <c r="D41">
        <v>1.00115</v>
      </c>
      <c r="E41">
        <v>3.0120000000000001E-2</v>
      </c>
      <c r="F41">
        <v>0.67171999999999998</v>
      </c>
    </row>
    <row r="42" spans="1:6" x14ac:dyDescent="0.25">
      <c r="A42">
        <v>0.38274000000000002</v>
      </c>
      <c r="B42">
        <v>0.56301000000000001</v>
      </c>
      <c r="C42">
        <v>0.46953</v>
      </c>
      <c r="D42">
        <v>0.69718999999999998</v>
      </c>
      <c r="E42">
        <v>0.88822000000000001</v>
      </c>
      <c r="F42">
        <v>0.73765000000000003</v>
      </c>
    </row>
    <row r="43" spans="1:6" x14ac:dyDescent="0.25">
      <c r="A43">
        <v>1.3826000000000001</v>
      </c>
      <c r="B43">
        <v>0.77014000000000005</v>
      </c>
      <c r="C43">
        <v>1.30915</v>
      </c>
      <c r="D43">
        <v>1.12741</v>
      </c>
      <c r="E43">
        <v>0.41593999999999998</v>
      </c>
      <c r="F43">
        <v>1.0585599999999999</v>
      </c>
    </row>
    <row r="44" spans="1:6" x14ac:dyDescent="0.25">
      <c r="A44">
        <v>1.2694000000000001</v>
      </c>
      <c r="B44">
        <v>1.5986499999999999</v>
      </c>
      <c r="C44">
        <v>1.34144</v>
      </c>
      <c r="D44">
        <v>1.1547799999999999</v>
      </c>
      <c r="E44">
        <v>1.5489299999999999</v>
      </c>
      <c r="F44">
        <v>1.2733099999999999</v>
      </c>
    </row>
    <row r="45" spans="1:6" x14ac:dyDescent="0.25">
      <c r="A45">
        <v>0.72231000000000001</v>
      </c>
      <c r="B45">
        <v>0.97726999999999997</v>
      </c>
      <c r="C45">
        <v>1.14768</v>
      </c>
      <c r="D45">
        <v>0.43347999999999998</v>
      </c>
      <c r="E45">
        <v>0.85653000000000001</v>
      </c>
      <c r="F45">
        <v>1.0968199999999999</v>
      </c>
    </row>
    <row r="46" spans="1:6" x14ac:dyDescent="0.25">
      <c r="A46">
        <v>1.00529</v>
      </c>
      <c r="B46">
        <v>0.97726999999999997</v>
      </c>
      <c r="C46">
        <v>1.21227</v>
      </c>
      <c r="D46">
        <v>0.9788</v>
      </c>
      <c r="E46">
        <v>0.92340999999999995</v>
      </c>
      <c r="F46">
        <v>1.1827700000000001</v>
      </c>
    </row>
    <row r="47" spans="1:6" x14ac:dyDescent="0.25">
      <c r="A47">
        <v>0.98643000000000003</v>
      </c>
      <c r="B47">
        <v>0.97726999999999997</v>
      </c>
      <c r="C47">
        <v>1.1153900000000001</v>
      </c>
      <c r="D47">
        <v>0.70025999999999999</v>
      </c>
      <c r="E47">
        <v>0.73224999999999996</v>
      </c>
      <c r="F47">
        <v>0.93269999999999997</v>
      </c>
    </row>
    <row r="48" spans="1:6" x14ac:dyDescent="0.25">
      <c r="A48">
        <v>0.51480000000000004</v>
      </c>
      <c r="B48">
        <v>0.97726999999999997</v>
      </c>
      <c r="C48">
        <v>1.0831</v>
      </c>
      <c r="D48">
        <v>0.43401000000000001</v>
      </c>
      <c r="E48">
        <v>0.96484000000000003</v>
      </c>
      <c r="F48">
        <v>1.0845400000000001</v>
      </c>
    </row>
    <row r="49" spans="1:6" x14ac:dyDescent="0.25">
      <c r="A49">
        <v>1.6844399999999999</v>
      </c>
      <c r="B49">
        <v>1.3915200000000001</v>
      </c>
      <c r="C49">
        <v>1.3737299999999999</v>
      </c>
      <c r="D49">
        <v>1.67889</v>
      </c>
      <c r="E49">
        <v>1.5226</v>
      </c>
      <c r="F49">
        <v>1.52332</v>
      </c>
    </row>
    <row r="50" spans="1:6" x14ac:dyDescent="0.25">
      <c r="A50">
        <v>1.2694000000000001</v>
      </c>
      <c r="B50">
        <v>0.97726999999999997</v>
      </c>
      <c r="C50">
        <v>1.01851</v>
      </c>
      <c r="D50">
        <v>1.05318</v>
      </c>
      <c r="E50">
        <v>0.85653000000000001</v>
      </c>
      <c r="F50">
        <v>0.95565</v>
      </c>
    </row>
    <row r="51" spans="1:6" x14ac:dyDescent="0.25">
      <c r="A51">
        <v>2.0806100000000001</v>
      </c>
      <c r="B51">
        <v>1.3915200000000001</v>
      </c>
      <c r="C51">
        <v>1.27685</v>
      </c>
      <c r="D51">
        <v>2.06284</v>
      </c>
      <c r="E51">
        <v>1.2740400000000001</v>
      </c>
      <c r="F51">
        <v>1.15978</v>
      </c>
    </row>
    <row r="52" spans="1:6" x14ac:dyDescent="0.25">
      <c r="A52">
        <v>1.0430200000000001</v>
      </c>
      <c r="B52">
        <v>0.97726999999999997</v>
      </c>
      <c r="C52">
        <v>1.17997</v>
      </c>
      <c r="D52">
        <v>0.79676000000000002</v>
      </c>
      <c r="E52">
        <v>0.85653000000000001</v>
      </c>
      <c r="F52">
        <v>1.1321099999999999</v>
      </c>
    </row>
    <row r="53" spans="1:6" x14ac:dyDescent="0.25">
      <c r="A53">
        <v>0.92983000000000005</v>
      </c>
      <c r="B53">
        <v>0.97726999999999997</v>
      </c>
      <c r="C53">
        <v>1.0831</v>
      </c>
      <c r="D53">
        <v>0.78093000000000001</v>
      </c>
      <c r="E53">
        <v>0.88997000000000004</v>
      </c>
      <c r="F53">
        <v>1.03392</v>
      </c>
    </row>
    <row r="54" spans="1:6" x14ac:dyDescent="0.25">
      <c r="A54">
        <v>1.5901099999999999</v>
      </c>
      <c r="B54">
        <v>1.5986499999999999</v>
      </c>
      <c r="C54">
        <v>1.14768</v>
      </c>
      <c r="D54">
        <v>1.67363</v>
      </c>
      <c r="E54">
        <v>1.7480800000000001</v>
      </c>
      <c r="F54">
        <v>1.24102</v>
      </c>
    </row>
    <row r="55" spans="1:6" x14ac:dyDescent="0.25">
      <c r="A55">
        <v>0.77890999999999999</v>
      </c>
      <c r="B55">
        <v>1.1843900000000001</v>
      </c>
      <c r="C55">
        <v>1.1153900000000001</v>
      </c>
      <c r="D55">
        <v>0.45440000000000003</v>
      </c>
      <c r="E55">
        <v>0.92428999999999994</v>
      </c>
      <c r="F55">
        <v>0.88975000000000004</v>
      </c>
    </row>
    <row r="56" spans="1:6" x14ac:dyDescent="0.25">
      <c r="A56">
        <v>1.23167</v>
      </c>
      <c r="B56">
        <v>1.3915200000000001</v>
      </c>
      <c r="C56">
        <v>1.27685</v>
      </c>
      <c r="D56">
        <v>0.96725000000000005</v>
      </c>
      <c r="E56">
        <v>1.1577500000000001</v>
      </c>
      <c r="F56">
        <v>1.0662100000000001</v>
      </c>
    </row>
    <row r="57" spans="1:6" x14ac:dyDescent="0.25">
      <c r="A57">
        <v>1.34487</v>
      </c>
      <c r="B57">
        <v>1.5986499999999999</v>
      </c>
      <c r="C57">
        <v>1.3737299999999999</v>
      </c>
      <c r="D57">
        <v>1.08467</v>
      </c>
      <c r="E57">
        <v>1.34978</v>
      </c>
      <c r="F57">
        <v>1.12914</v>
      </c>
    </row>
    <row r="58" spans="1:6" x14ac:dyDescent="0.25">
      <c r="A58">
        <v>0.47706999999999999</v>
      </c>
      <c r="B58">
        <v>0.97726999999999997</v>
      </c>
      <c r="C58">
        <v>1.14768</v>
      </c>
      <c r="D58">
        <v>0.39127000000000001</v>
      </c>
      <c r="E58">
        <v>0.96484000000000003</v>
      </c>
      <c r="F58">
        <v>1.15513</v>
      </c>
    </row>
    <row r="59" spans="1:6" x14ac:dyDescent="0.25">
      <c r="A59">
        <v>1.30714</v>
      </c>
      <c r="B59">
        <v>1.1843900000000001</v>
      </c>
      <c r="C59">
        <v>1.14768</v>
      </c>
      <c r="D59">
        <v>1.0527299999999999</v>
      </c>
      <c r="E59">
        <v>0.92428999999999994</v>
      </c>
      <c r="F59">
        <v>0.92503999999999997</v>
      </c>
    </row>
    <row r="60" spans="1:6" x14ac:dyDescent="0.25">
      <c r="A60">
        <v>1.4203300000000001</v>
      </c>
      <c r="B60">
        <v>1.5986499999999999</v>
      </c>
      <c r="C60">
        <v>1.21227</v>
      </c>
      <c r="D60">
        <v>1.3149299999999999</v>
      </c>
      <c r="E60">
        <v>1.5075000000000001</v>
      </c>
      <c r="F60">
        <v>1.0891999999999999</v>
      </c>
    </row>
    <row r="61" spans="1:6" x14ac:dyDescent="0.25">
      <c r="A61">
        <v>1.3260000000000001</v>
      </c>
      <c r="B61">
        <v>1.1843900000000001</v>
      </c>
      <c r="C61">
        <v>1.27685</v>
      </c>
      <c r="D61">
        <v>1.19729</v>
      </c>
      <c r="E61">
        <v>0.99914999999999998</v>
      </c>
      <c r="F61">
        <v>1.1168400000000001</v>
      </c>
    </row>
    <row r="62" spans="1:6" x14ac:dyDescent="0.25">
      <c r="A62">
        <v>1.09962</v>
      </c>
      <c r="B62">
        <v>0.56301000000000001</v>
      </c>
      <c r="C62">
        <v>0.92162999999999995</v>
      </c>
      <c r="D62">
        <v>1.38602</v>
      </c>
      <c r="E62">
        <v>0.81335999999999997</v>
      </c>
      <c r="F62">
        <v>1.1811100000000001</v>
      </c>
    </row>
    <row r="63" spans="1:6" x14ac:dyDescent="0.25">
      <c r="A63">
        <v>1.02416</v>
      </c>
      <c r="B63">
        <v>0.56301000000000001</v>
      </c>
      <c r="C63">
        <v>1.21227</v>
      </c>
      <c r="D63">
        <v>1.0217700000000001</v>
      </c>
      <c r="E63">
        <v>0.53934000000000004</v>
      </c>
      <c r="F63">
        <v>1.2686599999999999</v>
      </c>
    </row>
    <row r="64" spans="1:6" x14ac:dyDescent="0.25">
      <c r="A64">
        <v>0.8921</v>
      </c>
      <c r="B64">
        <v>0.97726999999999997</v>
      </c>
      <c r="C64">
        <v>1.7935399999999999</v>
      </c>
      <c r="D64">
        <v>0.71660000000000001</v>
      </c>
      <c r="E64">
        <v>0.80711999999999995</v>
      </c>
      <c r="F64">
        <v>1.72445</v>
      </c>
    </row>
    <row r="65" spans="1:6" x14ac:dyDescent="0.25">
      <c r="A65">
        <v>1.00529</v>
      </c>
      <c r="B65">
        <v>1.1843900000000001</v>
      </c>
      <c r="C65">
        <v>1.6966600000000001</v>
      </c>
      <c r="D65">
        <v>0.71082999999999996</v>
      </c>
      <c r="E65">
        <v>0.92428999999999994</v>
      </c>
      <c r="F65">
        <v>1.5249999999999999</v>
      </c>
    </row>
    <row r="66" spans="1:6" x14ac:dyDescent="0.25">
      <c r="A66">
        <v>2.8540800000000002</v>
      </c>
      <c r="B66">
        <v>2.2200299999999999</v>
      </c>
      <c r="C66">
        <v>1.5351999999999999</v>
      </c>
      <c r="D66">
        <v>2.94977</v>
      </c>
      <c r="E66">
        <v>2.2493099999999999</v>
      </c>
      <c r="F66">
        <v>1.48506</v>
      </c>
    </row>
    <row r="67" spans="1:6" x14ac:dyDescent="0.25">
      <c r="A67">
        <v>0.68457999999999997</v>
      </c>
      <c r="B67">
        <v>1.3915200000000001</v>
      </c>
      <c r="C67">
        <v>1.59979</v>
      </c>
      <c r="D67">
        <v>0.77110999999999996</v>
      </c>
      <c r="E67">
        <v>1.58948</v>
      </c>
      <c r="F67">
        <v>1.78573</v>
      </c>
    </row>
    <row r="68" spans="1:6" x14ac:dyDescent="0.25">
      <c r="A68">
        <v>2.1183399999999999</v>
      </c>
      <c r="B68">
        <v>2.0129000000000001</v>
      </c>
      <c r="C68">
        <v>1.50291</v>
      </c>
      <c r="D68">
        <v>1.99319</v>
      </c>
      <c r="E68">
        <v>1.94099</v>
      </c>
      <c r="F68">
        <v>1.3991400000000001</v>
      </c>
    </row>
    <row r="69" spans="1:6" x14ac:dyDescent="0.25">
      <c r="A69">
        <v>1.57125</v>
      </c>
      <c r="B69">
        <v>1.1843900000000001</v>
      </c>
      <c r="C69">
        <v>1.92272</v>
      </c>
      <c r="D69">
        <v>1.60907</v>
      </c>
      <c r="E69">
        <v>1.11544</v>
      </c>
      <c r="F69">
        <v>1.9162399999999999</v>
      </c>
    </row>
    <row r="70" spans="1:6" x14ac:dyDescent="0.25">
      <c r="A70">
        <v>1.7410399999999999</v>
      </c>
      <c r="B70">
        <v>2.0129000000000001</v>
      </c>
      <c r="C70">
        <v>2.0196000000000001</v>
      </c>
      <c r="D70">
        <v>1.5442199999999999</v>
      </c>
      <c r="E70">
        <v>1.8581300000000001</v>
      </c>
      <c r="F70">
        <v>1.87792</v>
      </c>
    </row>
    <row r="71" spans="1:6" x14ac:dyDescent="0.25">
      <c r="A71">
        <v>0.87322999999999995</v>
      </c>
      <c r="B71">
        <v>0.77014000000000005</v>
      </c>
      <c r="C71">
        <v>1.76125</v>
      </c>
      <c r="D71">
        <v>0.98480000000000001</v>
      </c>
      <c r="E71">
        <v>0.8891</v>
      </c>
      <c r="F71">
        <v>1.9621900000000001</v>
      </c>
    </row>
    <row r="72" spans="1:6" x14ac:dyDescent="0.25">
      <c r="A72">
        <v>0.72231000000000001</v>
      </c>
      <c r="B72">
        <v>1.5986499999999999</v>
      </c>
      <c r="C72">
        <v>2.2456499999999999</v>
      </c>
      <c r="D72">
        <v>1.4406000000000001</v>
      </c>
      <c r="E72">
        <v>2.2387000000000001</v>
      </c>
      <c r="F72">
        <v>2.7876300000000001</v>
      </c>
    </row>
    <row r="73" spans="1:6" x14ac:dyDescent="0.25">
      <c r="A73">
        <v>1.7410399999999999</v>
      </c>
      <c r="B73">
        <v>1.8057700000000001</v>
      </c>
      <c r="C73">
        <v>2.0518900000000002</v>
      </c>
      <c r="D73">
        <v>1.50102</v>
      </c>
      <c r="E73">
        <v>1.45896</v>
      </c>
      <c r="F73">
        <v>1.7414400000000001</v>
      </c>
    </row>
    <row r="74" spans="1:6" x14ac:dyDescent="0.25">
      <c r="A74">
        <v>0.81664000000000003</v>
      </c>
      <c r="B74">
        <v>1.3915200000000001</v>
      </c>
      <c r="C74">
        <v>1.4060299999999999</v>
      </c>
      <c r="D74">
        <v>0.74351999999999996</v>
      </c>
      <c r="E74">
        <v>1.30748</v>
      </c>
      <c r="F74">
        <v>1.30863</v>
      </c>
    </row>
    <row r="75" spans="1:6" x14ac:dyDescent="0.25">
      <c r="A75">
        <v>1.30714</v>
      </c>
      <c r="B75">
        <v>1.5986499999999999</v>
      </c>
      <c r="C75">
        <v>1.6643699999999999</v>
      </c>
      <c r="D75">
        <v>1.0311300000000001</v>
      </c>
      <c r="E75">
        <v>1.3083499999999999</v>
      </c>
      <c r="F75">
        <v>1.4038200000000001</v>
      </c>
    </row>
    <row r="76" spans="1:6" x14ac:dyDescent="0.25">
      <c r="A76">
        <v>0.70345000000000002</v>
      </c>
      <c r="B76">
        <v>0.97726999999999997</v>
      </c>
      <c r="C76">
        <v>1.43832</v>
      </c>
      <c r="D76">
        <v>0.79247999999999996</v>
      </c>
      <c r="E76">
        <v>1.12256</v>
      </c>
      <c r="F76">
        <v>1.60927</v>
      </c>
    </row>
    <row r="77" spans="1:6" x14ac:dyDescent="0.25">
      <c r="A77">
        <v>1.85423</v>
      </c>
      <c r="B77">
        <v>1.5986499999999999</v>
      </c>
      <c r="C77">
        <v>1.63208</v>
      </c>
      <c r="D77">
        <v>1.8388100000000001</v>
      </c>
      <c r="E77">
        <v>1.63178</v>
      </c>
      <c r="F77">
        <v>1.67682</v>
      </c>
    </row>
    <row r="78" spans="1:6" x14ac:dyDescent="0.25">
      <c r="A78">
        <v>2.2692600000000001</v>
      </c>
      <c r="B78">
        <v>1.5986499999999999</v>
      </c>
      <c r="C78">
        <v>1.8581300000000001</v>
      </c>
      <c r="D78">
        <v>2.0993499999999998</v>
      </c>
      <c r="E78">
        <v>1.2255</v>
      </c>
      <c r="F78">
        <v>1.52969</v>
      </c>
    </row>
    <row r="79" spans="1:6" x14ac:dyDescent="0.25">
      <c r="A79">
        <v>1.0430200000000001</v>
      </c>
      <c r="B79">
        <v>1.8057700000000001</v>
      </c>
      <c r="C79">
        <v>1.47061</v>
      </c>
      <c r="D79">
        <v>0.72116999999999998</v>
      </c>
      <c r="E79">
        <v>1.5003899999999999</v>
      </c>
      <c r="F79">
        <v>1.14913</v>
      </c>
    </row>
    <row r="80" spans="1:6" x14ac:dyDescent="0.25">
      <c r="A80">
        <v>1.7976300000000001</v>
      </c>
      <c r="B80">
        <v>2.2200299999999999</v>
      </c>
      <c r="C80">
        <v>1.4060299999999999</v>
      </c>
      <c r="D80">
        <v>1.5975200000000001</v>
      </c>
      <c r="E80">
        <v>2.05016</v>
      </c>
      <c r="F80">
        <v>1.1644300000000001</v>
      </c>
    </row>
    <row r="81" spans="1:6" x14ac:dyDescent="0.25">
      <c r="A81">
        <v>2.1183399999999999</v>
      </c>
      <c r="B81">
        <v>0.77014000000000005</v>
      </c>
      <c r="C81">
        <v>2.0196000000000001</v>
      </c>
      <c r="D81">
        <v>2.3951500000000001</v>
      </c>
      <c r="E81">
        <v>0.8891</v>
      </c>
      <c r="F81">
        <v>2.2445200000000001</v>
      </c>
    </row>
    <row r="82" spans="1:6" x14ac:dyDescent="0.25">
      <c r="A82">
        <v>1.4203300000000001</v>
      </c>
      <c r="B82">
        <v>1.1843900000000001</v>
      </c>
      <c r="C82">
        <v>1.47061</v>
      </c>
      <c r="D82">
        <v>1.3149299999999999</v>
      </c>
      <c r="E82">
        <v>1.0405800000000001</v>
      </c>
      <c r="F82">
        <v>1.3715299999999999</v>
      </c>
    </row>
    <row r="83" spans="1:6" x14ac:dyDescent="0.25">
      <c r="A83">
        <v>0.98643000000000003</v>
      </c>
      <c r="B83">
        <v>1.1843900000000001</v>
      </c>
      <c r="C83">
        <v>1.56749</v>
      </c>
      <c r="D83">
        <v>0.97902999999999996</v>
      </c>
      <c r="E83">
        <v>1.23973</v>
      </c>
      <c r="F83">
        <v>1.6568700000000001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Data</vt:lpstr>
    </vt:vector>
  </TitlesOfParts>
  <Company>Publicis Groupe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Schlegel</dc:creator>
  <cp:lastModifiedBy>Aaron</cp:lastModifiedBy>
  <dcterms:created xsi:type="dcterms:W3CDTF">2014-06-25T17:52:45Z</dcterms:created>
  <dcterms:modified xsi:type="dcterms:W3CDTF">2014-06-26T01:57:48Z</dcterms:modified>
</cp:coreProperties>
</file>